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Software\DartFlutter\GradleMustDie\inertial_nav\"/>
    </mc:Choice>
  </mc:AlternateContent>
  <xr:revisionPtr revIDLastSave="0" documentId="13_ncr:1_{C5F9429F-8AF2-4A5A-958F-CE7B25E67D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" i="1" l="1"/>
  <c r="A22" i="1"/>
  <c r="A21" i="1"/>
  <c r="A20" i="1"/>
  <c r="D19" i="1"/>
  <c r="E19" i="1" s="1"/>
  <c r="A16" i="1"/>
  <c r="A15" i="1"/>
  <c r="A14" i="1"/>
  <c r="A13" i="1"/>
  <c r="D12" i="1"/>
  <c r="E12" i="1" s="1"/>
  <c r="A8" i="1"/>
  <c r="A7" i="1"/>
  <c r="A6" i="1"/>
  <c r="D4" i="1"/>
  <c r="E4" i="1" s="1"/>
  <c r="A5" i="1"/>
  <c r="D5" i="1" l="1"/>
  <c r="E5" i="1" s="1"/>
  <c r="D13" i="1"/>
  <c r="D14" i="1" s="1"/>
  <c r="D15" i="1" s="1"/>
  <c r="D16" i="1" s="1"/>
  <c r="D20" i="1"/>
  <c r="E20" i="1" s="1"/>
  <c r="E13" i="1" l="1"/>
  <c r="E14" i="1" s="1"/>
  <c r="E15" i="1" s="1"/>
  <c r="E16" i="1" s="1"/>
  <c r="D6" i="1"/>
  <c r="D21" i="1"/>
  <c r="E21" i="1" s="1"/>
  <c r="D22" i="1" l="1"/>
  <c r="E22" i="1" s="1"/>
  <c r="E6" i="1"/>
  <c r="D7" i="1"/>
  <c r="D8" i="1" s="1"/>
  <c r="D23" i="1"/>
  <c r="E23" i="1" s="1"/>
  <c r="E7" i="1" l="1"/>
  <c r="E8" i="1" s="1"/>
</calcChain>
</file>

<file path=xl/sharedStrings.xml><?xml version="1.0" encoding="utf-8"?>
<sst xmlns="http://schemas.openxmlformats.org/spreadsheetml/2006/main" count="8" uniqueCount="8">
  <si>
    <t>Previous Acceleration</t>
  </si>
  <si>
    <t>mSec period</t>
  </si>
  <si>
    <t>Acceleration m/sec sqaured</t>
  </si>
  <si>
    <t>Velocity m/sec</t>
  </si>
  <si>
    <t>Position meters</t>
  </si>
  <si>
    <t>Case 1</t>
  </si>
  <si>
    <t>Case 2</t>
  </si>
  <si>
    <t>Case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</si>
</sst>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A3" sqref="A3"/>
    </sheetView>
  </sheetViews>
  <sheetFormatPr defaultRowHeight="15" x14ac:dyDescent="0.25"/>
  <cols>
    <col min="1" max="2" width="17.42578125" style="2" customWidth="1"/>
    <col min="3" max="3" width="14.42578125" style="2" customWidth="1"/>
    <col min="4" max="4" width="16.5703125" style="2" customWidth="1"/>
    <col min="5" max="5" width="18.140625" style="2" customWidth="1"/>
    <col min="6" max="16384" width="9.140625" style="2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/>
      <c r="B2" s="1"/>
      <c r="C2" s="1"/>
      <c r="D2" s="1"/>
      <c r="E2" s="1"/>
    </row>
    <row r="3" spans="1:5" x14ac:dyDescent="0.25">
      <c r="A3" s="1" t="s">
        <v>7</v>
      </c>
      <c r="B3" s="1"/>
      <c r="C3" s="1"/>
      <c r="D3" s="1"/>
      <c r="E3" s="1"/>
    </row>
    <row r="4" spans="1:5" x14ac:dyDescent="0.25">
      <c r="A4" s="3">
        <v>0</v>
      </c>
      <c r="B4" s="4">
        <v>160</v>
      </c>
      <c r="C4" s="3">
        <v>1</v>
      </c>
      <c r="D4" s="3">
        <f>((C4+A4)/2)*(B4/1000)</f>
        <v>0.08</v>
      </c>
      <c r="E4" s="3">
        <f>D4*(B4/1000)</f>
        <v>1.2800000000000001E-2</v>
      </c>
    </row>
    <row r="5" spans="1:5" x14ac:dyDescent="0.25">
      <c r="A5" s="3">
        <f>C4</f>
        <v>1</v>
      </c>
      <c r="B5" s="4">
        <v>150</v>
      </c>
      <c r="C5" s="3">
        <v>0.5</v>
      </c>
      <c r="D5" s="3">
        <f>((C5+A5)/2)*(B5/1000)+D4</f>
        <v>0.1925</v>
      </c>
      <c r="E5" s="3">
        <f>D5*(B5/1000)+E4</f>
        <v>4.1674999999999997E-2</v>
      </c>
    </row>
    <row r="6" spans="1:5" x14ac:dyDescent="0.25">
      <c r="A6" s="3">
        <f t="shared" ref="A6:A8" si="0">C5</f>
        <v>0.5</v>
      </c>
      <c r="B6" s="4">
        <v>160</v>
      </c>
      <c r="C6" s="3">
        <v>-0.1</v>
      </c>
      <c r="D6" s="3">
        <f t="shared" ref="D6:D7" si="1">((C6+A6)/2)*(B6/1000)+D5</f>
        <v>0.22450000000000001</v>
      </c>
      <c r="E6" s="3">
        <f t="shared" ref="E6:E7" si="2">D6*(B6/1000)+E5</f>
        <v>7.7594999999999997E-2</v>
      </c>
    </row>
    <row r="7" spans="1:5" x14ac:dyDescent="0.25">
      <c r="A7" s="3">
        <f t="shared" si="0"/>
        <v>-0.1</v>
      </c>
      <c r="B7" s="4">
        <v>170</v>
      </c>
      <c r="C7" s="3">
        <v>-0.75</v>
      </c>
      <c r="D7" s="3">
        <f t="shared" si="1"/>
        <v>0.15225</v>
      </c>
      <c r="E7" s="3">
        <f t="shared" si="2"/>
        <v>0.1034775</v>
      </c>
    </row>
    <row r="8" spans="1:5" x14ac:dyDescent="0.25">
      <c r="A8" s="3">
        <f t="shared" si="0"/>
        <v>-0.75</v>
      </c>
      <c r="B8" s="4">
        <v>160</v>
      </c>
      <c r="C8" s="3">
        <v>-1.2</v>
      </c>
      <c r="D8" s="3">
        <f t="shared" ref="D8" si="3">((C8+A8)/2)*(B8/1000)+D7</f>
        <v>-3.7500000000000033E-3</v>
      </c>
      <c r="E8" s="3">
        <f t="shared" ref="E8" si="4">D8*(B8/1000)+E7</f>
        <v>0.1028775</v>
      </c>
    </row>
    <row r="9" spans="1:5" x14ac:dyDescent="0.25">
      <c r="A9" s="3"/>
      <c r="B9" s="4"/>
      <c r="C9" s="3"/>
      <c r="D9" s="3"/>
      <c r="E9" s="3"/>
    </row>
    <row r="10" spans="1:5" x14ac:dyDescent="0.25">
      <c r="A10" s="3"/>
      <c r="B10" s="4"/>
      <c r="C10" s="3"/>
      <c r="D10" s="3"/>
      <c r="E10" s="3"/>
    </row>
    <row r="11" spans="1:5" x14ac:dyDescent="0.25">
      <c r="A11" s="3" t="s">
        <v>5</v>
      </c>
      <c r="B11" s="4"/>
      <c r="C11" s="3"/>
      <c r="D11" s="3"/>
      <c r="E11" s="3"/>
    </row>
    <row r="12" spans="1:5" x14ac:dyDescent="0.25">
      <c r="A12" s="3">
        <v>0</v>
      </c>
      <c r="B12" s="4">
        <v>160</v>
      </c>
      <c r="C12" s="3">
        <v>1</v>
      </c>
      <c r="D12" s="3">
        <f>((C12+A12)/2)*(B12/1000)</f>
        <v>0.08</v>
      </c>
      <c r="E12" s="3">
        <f>D12*(B12/1000)</f>
        <v>1.2800000000000001E-2</v>
      </c>
    </row>
    <row r="13" spans="1:5" x14ac:dyDescent="0.25">
      <c r="A13" s="3">
        <f>C12</f>
        <v>1</v>
      </c>
      <c r="B13" s="4">
        <v>150</v>
      </c>
      <c r="C13" s="3">
        <v>0</v>
      </c>
      <c r="D13" s="3">
        <f>((C13+A13)/2)*(B13/1000)+D12</f>
        <v>0.155</v>
      </c>
      <c r="E13" s="3">
        <f>D13*(B13/1000)+E12</f>
        <v>3.6049999999999999E-2</v>
      </c>
    </row>
    <row r="14" spans="1:5" x14ac:dyDescent="0.25">
      <c r="A14" s="3">
        <f t="shared" ref="A14:A16" si="5">C13</f>
        <v>0</v>
      </c>
      <c r="B14" s="4">
        <v>160</v>
      </c>
      <c r="C14" s="3">
        <v>0</v>
      </c>
      <c r="D14" s="3">
        <f t="shared" ref="D14:D16" si="6">((C14+A14)/2)*(B14/1000)+D13</f>
        <v>0.155</v>
      </c>
      <c r="E14" s="3">
        <f t="shared" ref="E14:E16" si="7">D14*(B14/1000)+E13</f>
        <v>6.0850000000000001E-2</v>
      </c>
    </row>
    <row r="15" spans="1:5" x14ac:dyDescent="0.25">
      <c r="A15" s="3">
        <f t="shared" si="5"/>
        <v>0</v>
      </c>
      <c r="B15" s="4">
        <v>170</v>
      </c>
      <c r="C15" s="3">
        <v>0</v>
      </c>
      <c r="D15" s="3">
        <f t="shared" si="6"/>
        <v>0.155</v>
      </c>
      <c r="E15" s="3">
        <f t="shared" si="7"/>
        <v>8.72E-2</v>
      </c>
    </row>
    <row r="16" spans="1:5" x14ac:dyDescent="0.25">
      <c r="A16" s="3">
        <f t="shared" si="5"/>
        <v>0</v>
      </c>
      <c r="B16" s="4">
        <v>160</v>
      </c>
      <c r="C16" s="3">
        <v>0</v>
      </c>
      <c r="D16" s="3">
        <f t="shared" si="6"/>
        <v>0.155</v>
      </c>
      <c r="E16" s="3">
        <f t="shared" si="7"/>
        <v>0.112</v>
      </c>
    </row>
    <row r="17" spans="1:5" x14ac:dyDescent="0.25">
      <c r="A17" s="3"/>
      <c r="B17" s="3"/>
      <c r="C17" s="3"/>
      <c r="D17" s="3"/>
      <c r="E17" s="3"/>
    </row>
    <row r="18" spans="1:5" x14ac:dyDescent="0.25">
      <c r="A18" s="3" t="s">
        <v>6</v>
      </c>
      <c r="B18" s="3"/>
      <c r="C18" s="3"/>
      <c r="D18" s="3"/>
      <c r="E18" s="3"/>
    </row>
    <row r="19" spans="1:5" x14ac:dyDescent="0.25">
      <c r="A19" s="3">
        <v>0</v>
      </c>
      <c r="B19" s="4">
        <v>160</v>
      </c>
      <c r="C19" s="3">
        <v>-1</v>
      </c>
      <c r="D19" s="3">
        <f>((C19+A19)/2)*(B19/1000)</f>
        <v>-0.08</v>
      </c>
      <c r="E19" s="3">
        <f>D19*(B19/1000)</f>
        <v>-1.2800000000000001E-2</v>
      </c>
    </row>
    <row r="20" spans="1:5" x14ac:dyDescent="0.25">
      <c r="A20" s="3">
        <f>C19</f>
        <v>-1</v>
      </c>
      <c r="B20" s="4">
        <v>150</v>
      </c>
      <c r="C20" s="3">
        <v>0</v>
      </c>
      <c r="D20" s="3">
        <f>((C20+A20)/2)*(B20/1000)+D19</f>
        <v>-0.155</v>
      </c>
      <c r="E20" s="3">
        <f>D20*(B20/1000)+E19</f>
        <v>-3.6049999999999999E-2</v>
      </c>
    </row>
    <row r="21" spans="1:5" x14ac:dyDescent="0.25">
      <c r="A21" s="3">
        <f t="shared" ref="A21:A23" si="8">C20</f>
        <v>0</v>
      </c>
      <c r="B21" s="4">
        <v>160</v>
      </c>
      <c r="C21" s="3">
        <v>0</v>
      </c>
      <c r="D21" s="3">
        <f t="shared" ref="D21:D23" si="9">((C21+A21)/2)*(B21/1000)+D20</f>
        <v>-0.155</v>
      </c>
      <c r="E21" s="3">
        <f t="shared" ref="E21:E23" si="10">D21*(B21/1000)+E20</f>
        <v>-6.0850000000000001E-2</v>
      </c>
    </row>
    <row r="22" spans="1:5" x14ac:dyDescent="0.25">
      <c r="A22" s="3">
        <f t="shared" si="8"/>
        <v>0</v>
      </c>
      <c r="B22" s="4">
        <v>170</v>
      </c>
      <c r="C22" s="3">
        <v>0</v>
      </c>
      <c r="D22" s="3">
        <f t="shared" si="9"/>
        <v>-0.155</v>
      </c>
      <c r="E22" s="3">
        <f t="shared" si="10"/>
        <v>-8.72E-2</v>
      </c>
    </row>
    <row r="23" spans="1:5" x14ac:dyDescent="0.25">
      <c r="A23" s="3">
        <f t="shared" si="8"/>
        <v>0</v>
      </c>
      <c r="B23" s="4">
        <v>160</v>
      </c>
      <c r="C23" s="3">
        <v>0</v>
      </c>
      <c r="D23" s="3">
        <f t="shared" si="9"/>
        <v>-0.155</v>
      </c>
      <c r="E23" s="3">
        <f t="shared" si="10"/>
        <v>-0.112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Willard Skou</dc:creator>
  <cp:lastModifiedBy>Willard Skou</cp:lastModifiedBy>
  <cp:lastPrinted>2026-04-24T14:50:18Z</cp:lastPrinted>
  <dcterms:created xsi:type="dcterms:W3CDTF">2015-06-05T18:17:20Z</dcterms:created>
  <dcterms:modified xsi:type="dcterms:W3CDTF">2026-04-24T15:33:12Z</dcterms:modified>
</cp:coreProperties>
</file>